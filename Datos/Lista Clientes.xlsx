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OS\Luis Jimenez\Dashboard Gestion nuevo\"/>
    </mc:Choice>
  </mc:AlternateContent>
  <xr:revisionPtr revIDLastSave="0" documentId="13_ncr:1_{84CB1B4B-B5C6-4F87-B196-FF41997380B9}" xr6:coauthVersionLast="47" xr6:coauthVersionMax="47" xr10:uidLastSave="{00000000-0000-0000-0000-000000000000}"/>
  <bookViews>
    <workbookView xWindow="43200" yWindow="2565" windowWidth="14400" windowHeight="15600" xr2:uid="{24E44E50-82F2-407E-8542-CE5A3DF3B639}"/>
  </bookViews>
  <sheets>
    <sheet name="Paramétrica de posiciones en 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  <c r="D47" i="1"/>
  <c r="D48" i="1"/>
  <c r="D49" i="1"/>
  <c r="D50" i="1"/>
  <c r="D45" i="1"/>
</calcChain>
</file>

<file path=xl/sharedStrings.xml><?xml version="1.0" encoding="utf-8"?>
<sst xmlns="http://schemas.openxmlformats.org/spreadsheetml/2006/main" count="138" uniqueCount="95">
  <si>
    <t>Grupo de inversión</t>
  </si>
  <si>
    <t>Grupo</t>
  </si>
  <si>
    <t>Código cartera</t>
  </si>
  <si>
    <t>Nombre cartera</t>
  </si>
  <si>
    <t>EXCEL PARAMÉTRICA DE POSICIONES EN CARTERA ASESORADA</t>
  </si>
  <si>
    <t>Selección: fecha  31/01/2026; Grupo de inversión contenido en A|G|; Familia  GLOBAL</t>
  </si>
  <si>
    <t>A - Asesoramiento</t>
  </si>
  <si>
    <t>0134950</t>
  </si>
  <si>
    <t>0134970</t>
  </si>
  <si>
    <t>0134980</t>
  </si>
  <si>
    <t>0134981</t>
  </si>
  <si>
    <t>0134990</t>
  </si>
  <si>
    <t>0134991</t>
  </si>
  <si>
    <t>0135000</t>
  </si>
  <si>
    <t>0135010</t>
  </si>
  <si>
    <t>0135020</t>
  </si>
  <si>
    <t>0135030</t>
  </si>
  <si>
    <t>0135040</t>
  </si>
  <si>
    <t>0135050</t>
  </si>
  <si>
    <t>0135060</t>
  </si>
  <si>
    <t>0135081</t>
  </si>
  <si>
    <t>0135140</t>
  </si>
  <si>
    <t>0135150</t>
  </si>
  <si>
    <t>0135220</t>
  </si>
  <si>
    <t>0135230</t>
  </si>
  <si>
    <t>0135320</t>
  </si>
  <si>
    <t>0135550</t>
  </si>
  <si>
    <t>0136020</t>
  </si>
  <si>
    <t>G - Gestión</t>
  </si>
  <si>
    <t>0011050</t>
  </si>
  <si>
    <t>0110110</t>
  </si>
  <si>
    <t>0110320</t>
  </si>
  <si>
    <t>0110670</t>
  </si>
  <si>
    <t>0110890</t>
  </si>
  <si>
    <t>0111600</t>
  </si>
  <si>
    <t>0122900</t>
  </si>
  <si>
    <t>0133453</t>
  </si>
  <si>
    <t>0133465</t>
  </si>
  <si>
    <t>0133600</t>
  </si>
  <si>
    <t>0133831</t>
  </si>
  <si>
    <t>0133832</t>
  </si>
  <si>
    <t>0134320</t>
  </si>
  <si>
    <t>0134590</t>
  </si>
  <si>
    <t>0134971</t>
  </si>
  <si>
    <t>0135080</t>
  </si>
  <si>
    <t>0135280</t>
  </si>
  <si>
    <t>0135660</t>
  </si>
  <si>
    <t>0135940</t>
  </si>
  <si>
    <t>Cliente 2</t>
  </si>
  <si>
    <t>Cliente 1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</si>
  <si>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</si>
  <si>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</si>
  <si>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</si>
  <si>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</si>
  <si>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</si>
  <si>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</si>
  <si>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</si>
  <si>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</si>
  <si>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</si>
  <si>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</si>
  <si>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</si>
  <si>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</si>
  <si>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</si>
  <si>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</si>
  <si>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</si>
  <si>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</si>
  <si>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</si>
  <si>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</si>
  <si>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</si>
  <si>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</si>
  <si>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</si>
  <si>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</si>
  <si>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</si>
  <si>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</si>
  <si>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</si>
  <si>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</si>
  <si>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</si>
  <si>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</si>
  <si>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</si>
  <si>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</si>
  <si>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</si>
  <si>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</si>
  <si>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</si>
  <si>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</si>
  <si>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</si>
  <si>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</si>
  <si>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</si>
  <si>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</si>
  <si>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P - Partícipe</t>
  </si>
  <si>
    <t>0110112</t>
  </si>
  <si>
    <t>0110674</t>
  </si>
  <si>
    <t>0110892</t>
  </si>
  <si>
    <t>0111602</t>
  </si>
  <si>
    <t>0133450</t>
  </si>
  <si>
    <t>0133460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</si>
</sst>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1" fillId="0" borderId="1" xfId="0" applyFont="1" applyBorder="1" applyAlignment="1"/>
    <xf numFmtId="0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918F-D7DF-405D-B7C1-23F0317AC5CA}">
  <dimension ref="A1:D50"/>
  <sheetViews>
    <sheetView tabSelected="1" zoomScaleNormal="100" workbookViewId="0">
      <selection activeCell="C6" sqref="C6"/>
    </sheetView>
  </sheetViews>
  <sheetFormatPr baseColWidth="10" defaultRowHeight="13.2" x14ac:dyDescent="0.25"/>
  <cols>
    <col min="1" max="1" width="40" bestFit="1" customWidth="1"/>
    <col min="2" max="2" width="25" bestFit="1" customWidth="1"/>
    <col min="3" max="4" width="30" bestFit="1" customWidth="1"/>
    <col min="5" max="256" width="8.88671875" customWidth="1"/>
  </cols>
  <sheetData>
    <row r="1" spans="1:4" x14ac:dyDescent="0.25">
      <c r="A1" s="3" t="s">
        <v>4</v>
      </c>
      <c r="B1" s="3"/>
      <c r="C1" s="3"/>
      <c r="D1" s="3"/>
    </row>
    <row r="2" spans="1:4" x14ac:dyDescent="0.25">
      <c r="A2" s="4" t="s">
        <v>5</v>
      </c>
    </row>
    <row r="4" spans="1:4" x14ac:dyDescent="0.25">
      <c r="A4" s="1" t="s">
        <v>0</v>
      </c>
      <c r="B4" s="1" t="s">
        <v>1</v>
      </c>
      <c r="C4" s="1" t="s">
        <v>2</v>
      </c>
      <c r="D4" s="1" t="s">
        <v>3</v>
      </c>
    </row>
    <row r="5" spans="1:4" x14ac:dyDescent="0.25">
      <c r="A5" s="2" t="s">
        <v>6</v>
      </c>
      <c r="B5" s="2">
        <v>13495</v>
      </c>
      <c r="C5" s="2" t="s">
        <v>7</v>
      </c>
      <c r="D5" s="2" t="s">
        <v>49</v>
      </c>
    </row>
    <row r="6" spans="1:4" x14ac:dyDescent="0.25">
      <c r="A6" s="2" t="s">
        <v>6</v>
      </c>
      <c r="B6" s="2">
        <v>13497</v>
      </c>
      <c r="C6" s="2" t="s">
        <v>8</v>
      </c>
      <c r="D6" s="2" t="s">
        <v>48</v>
      </c>
    </row>
    <row r="7" spans="1:4" x14ac:dyDescent="0.25">
      <c r="A7" s="2" t="s">
        <v>6</v>
      </c>
      <c r="B7" s="2">
        <v>13498</v>
      </c>
      <c r="C7" s="2" t="s">
        <v>9</v>
      </c>
      <c r="D7" s="2" t="s">
        <v>50</v>
      </c>
    </row>
    <row r="8" spans="1:4" x14ac:dyDescent="0.25">
      <c r="A8" s="2" t="s">
        <v>6</v>
      </c>
      <c r="B8" s="2">
        <v>13498</v>
      </c>
      <c r="C8" s="2" t="s">
        <v>10</v>
      </c>
      <c r="D8" s="2" t="s">
        <v>51</v>
      </c>
    </row>
    <row r="9" spans="1:4" x14ac:dyDescent="0.25">
      <c r="A9" s="2" t="s">
        <v>6</v>
      </c>
      <c r="B9" s="2">
        <v>13499</v>
      </c>
      <c r="C9" s="2" t="s">
        <v>11</v>
      </c>
      <c r="D9" s="2" t="s">
        <v>52</v>
      </c>
    </row>
    <row r="10" spans="1:4" x14ac:dyDescent="0.25">
      <c r="A10" s="2" t="s">
        <v>6</v>
      </c>
      <c r="B10" s="2">
        <v>13499</v>
      </c>
      <c r="C10" s="2" t="s">
        <v>12</v>
      </c>
      <c r="D10" s="2" t="s">
        <v>53</v>
      </c>
    </row>
    <row r="11" spans="1:4" x14ac:dyDescent="0.25">
      <c r="A11" s="2" t="s">
        <v>6</v>
      </c>
      <c r="B11" s="2">
        <v>13500</v>
      </c>
      <c r="C11" s="2" t="s">
        <v>13</v>
      </c>
      <c r="D11" s="2" t="s">
        <v>54</v>
      </c>
    </row>
    <row r="12" spans="1:4" x14ac:dyDescent="0.25">
      <c r="A12" s="2" t="s">
        <v>6</v>
      </c>
      <c r="B12" s="2">
        <v>13501</v>
      </c>
      <c r="C12" s="2" t="s">
        <v>14</v>
      </c>
      <c r="D12" s="2" t="s">
        <v>55</v>
      </c>
    </row>
    <row r="13" spans="1:4" x14ac:dyDescent="0.25">
      <c r="A13" s="2" t="s">
        <v>6</v>
      </c>
      <c r="B13" s="2">
        <v>13502</v>
      </c>
      <c r="C13" s="2" t="s">
        <v>15</v>
      </c>
      <c r="D13" s="2" t="s">
        <v>56</v>
      </c>
    </row>
    <row r="14" spans="1:4" x14ac:dyDescent="0.25">
      <c r="A14" s="2" t="s">
        <v>6</v>
      </c>
      <c r="B14" s="2">
        <v>13503</v>
      </c>
      <c r="C14" s="2" t="s">
        <v>16</v>
      </c>
      <c r="D14" s="2" t="s">
        <v>57</v>
      </c>
    </row>
    <row r="15" spans="1:4" x14ac:dyDescent="0.25">
      <c r="A15" s="2" t="s">
        <v>6</v>
      </c>
      <c r="B15" s="2">
        <v>13504</v>
      </c>
      <c r="C15" s="2" t="s">
        <v>17</v>
      </c>
      <c r="D15" s="2" t="s">
        <v>58</v>
      </c>
    </row>
    <row r="16" spans="1:4" x14ac:dyDescent="0.25">
      <c r="A16" s="2" t="s">
        <v>6</v>
      </c>
      <c r="B16" s="2">
        <v>13505</v>
      </c>
      <c r="C16" s="2" t="s">
        <v>18</v>
      </c>
      <c r="D16" s="2" t="s">
        <v>59</v>
      </c>
    </row>
    <row r="17" spans="1:4" x14ac:dyDescent="0.25">
      <c r="A17" s="2" t="s">
        <v>6</v>
      </c>
      <c r="B17" s="2">
        <v>13506</v>
      </c>
      <c r="C17" s="2" t="s">
        <v>19</v>
      </c>
      <c r="D17" s="2" t="s">
        <v>60</v>
      </c>
    </row>
    <row r="18" spans="1:4" x14ac:dyDescent="0.25">
      <c r="A18" s="2" t="s">
        <v>6</v>
      </c>
      <c r="B18" s="2">
        <v>13508</v>
      </c>
      <c r="C18" s="2" t="s">
        <v>20</v>
      </c>
      <c r="D18" s="2" t="s">
        <v>61</v>
      </c>
    </row>
    <row r="19" spans="1:4" x14ac:dyDescent="0.25">
      <c r="A19" s="2" t="s">
        <v>6</v>
      </c>
      <c r="B19" s="2">
        <v>13514</v>
      </c>
      <c r="C19" s="2" t="s">
        <v>21</v>
      </c>
      <c r="D19" s="2" t="s">
        <v>62</v>
      </c>
    </row>
    <row r="20" spans="1:4" x14ac:dyDescent="0.25">
      <c r="A20" s="2" t="s">
        <v>6</v>
      </c>
      <c r="B20" s="2">
        <v>13515</v>
      </c>
      <c r="C20" s="2" t="s">
        <v>22</v>
      </c>
      <c r="D20" s="2" t="s">
        <v>63</v>
      </c>
    </row>
    <row r="21" spans="1:4" x14ac:dyDescent="0.25">
      <c r="A21" s="2" t="s">
        <v>6</v>
      </c>
      <c r="B21" s="2">
        <v>13522</v>
      </c>
      <c r="C21" s="2" t="s">
        <v>23</v>
      </c>
      <c r="D21" s="2" t="s">
        <v>64</v>
      </c>
    </row>
    <row r="22" spans="1:4" x14ac:dyDescent="0.25">
      <c r="A22" s="2" t="s">
        <v>6</v>
      </c>
      <c r="B22" s="2">
        <v>13523</v>
      </c>
      <c r="C22" s="2" t="s">
        <v>24</v>
      </c>
      <c r="D22" s="2" t="s">
        <v>65</v>
      </c>
    </row>
    <row r="23" spans="1:4" x14ac:dyDescent="0.25">
      <c r="A23" s="2" t="s">
        <v>6</v>
      </c>
      <c r="B23" s="2">
        <v>13532</v>
      </c>
      <c r="C23" s="2" t="s">
        <v>25</v>
      </c>
      <c r="D23" s="2" t="s">
        <v>66</v>
      </c>
    </row>
    <row r="24" spans="1:4" x14ac:dyDescent="0.25">
      <c r="A24" s="2" t="s">
        <v>6</v>
      </c>
      <c r="B24" s="2">
        <v>13555</v>
      </c>
      <c r="C24" s="2" t="s">
        <v>26</v>
      </c>
      <c r="D24" s="2" t="s">
        <v>67</v>
      </c>
    </row>
    <row r="25" spans="1:4" x14ac:dyDescent="0.25">
      <c r="A25" s="2" t="s">
        <v>6</v>
      </c>
      <c r="B25" s="2">
        <v>13602</v>
      </c>
      <c r="C25" s="2" t="s">
        <v>27</v>
      </c>
      <c r="D25" s="2" t="s">
        <v>68</v>
      </c>
    </row>
    <row r="26" spans="1:4" x14ac:dyDescent="0.25">
      <c r="A26" s="2" t="s">
        <v>28</v>
      </c>
      <c r="B26" s="2">
        <v>1105</v>
      </c>
      <c r="C26" s="2" t="s">
        <v>29</v>
      </c>
      <c r="D26" s="2" t="s">
        <v>69</v>
      </c>
    </row>
    <row r="27" spans="1:4" x14ac:dyDescent="0.25">
      <c r="A27" s="2" t="s">
        <v>28</v>
      </c>
      <c r="B27" s="2">
        <v>11011</v>
      </c>
      <c r="C27" s="2" t="s">
        <v>30</v>
      </c>
      <c r="D27" s="2" t="s">
        <v>70</v>
      </c>
    </row>
    <row r="28" spans="1:4" x14ac:dyDescent="0.25">
      <c r="A28" s="2" t="s">
        <v>28</v>
      </c>
      <c r="B28" s="2">
        <v>11032</v>
      </c>
      <c r="C28" s="2" t="s">
        <v>31</v>
      </c>
      <c r="D28" s="2" t="s">
        <v>71</v>
      </c>
    </row>
    <row r="29" spans="1:4" x14ac:dyDescent="0.25">
      <c r="A29" s="2" t="s">
        <v>28</v>
      </c>
      <c r="B29" s="2">
        <v>11067</v>
      </c>
      <c r="C29" s="2" t="s">
        <v>32</v>
      </c>
      <c r="D29" s="2" t="s">
        <v>72</v>
      </c>
    </row>
    <row r="30" spans="1:4" x14ac:dyDescent="0.25">
      <c r="A30" s="2" t="s">
        <v>28</v>
      </c>
      <c r="B30" s="2">
        <v>11089</v>
      </c>
      <c r="C30" s="2" t="s">
        <v>33</v>
      </c>
      <c r="D30" s="2" t="s">
        <v>73</v>
      </c>
    </row>
    <row r="31" spans="1:4" x14ac:dyDescent="0.25">
      <c r="A31" s="2" t="s">
        <v>28</v>
      </c>
      <c r="B31" s="2">
        <v>11160</v>
      </c>
      <c r="C31" s="2" t="s">
        <v>34</v>
      </c>
      <c r="D31" s="2" t="s">
        <v>74</v>
      </c>
    </row>
    <row r="32" spans="1:4" x14ac:dyDescent="0.25">
      <c r="A32" s="2" t="s">
        <v>28</v>
      </c>
      <c r="B32" s="2">
        <v>12290</v>
      </c>
      <c r="C32" s="2" t="s">
        <v>35</v>
      </c>
      <c r="D32" s="2" t="s">
        <v>75</v>
      </c>
    </row>
    <row r="33" spans="1:4" x14ac:dyDescent="0.25">
      <c r="A33" s="2" t="s">
        <v>28</v>
      </c>
      <c r="B33" s="2">
        <v>13345</v>
      </c>
      <c r="C33" s="2" t="s">
        <v>36</v>
      </c>
      <c r="D33" s="2" t="s">
        <v>76</v>
      </c>
    </row>
    <row r="34" spans="1:4" x14ac:dyDescent="0.25">
      <c r="A34" s="2" t="s">
        <v>28</v>
      </c>
      <c r="B34" s="2">
        <v>13346</v>
      </c>
      <c r="C34" s="2" t="s">
        <v>37</v>
      </c>
      <c r="D34" s="2" t="s">
        <v>77</v>
      </c>
    </row>
    <row r="35" spans="1:4" x14ac:dyDescent="0.25">
      <c r="A35" s="2" t="s">
        <v>28</v>
      </c>
      <c r="B35" s="2">
        <v>13360</v>
      </c>
      <c r="C35" s="2" t="s">
        <v>38</v>
      </c>
      <c r="D35" s="2" t="s">
        <v>78</v>
      </c>
    </row>
    <row r="36" spans="1:4" x14ac:dyDescent="0.25">
      <c r="A36" s="2" t="s">
        <v>28</v>
      </c>
      <c r="B36" s="2">
        <v>13383</v>
      </c>
      <c r="C36" s="2" t="s">
        <v>39</v>
      </c>
      <c r="D36" s="2" t="s">
        <v>79</v>
      </c>
    </row>
    <row r="37" spans="1:4" x14ac:dyDescent="0.25">
      <c r="A37" s="2" t="s">
        <v>28</v>
      </c>
      <c r="B37" s="2">
        <v>13383</v>
      </c>
      <c r="C37" s="2" t="s">
        <v>40</v>
      </c>
      <c r="D37" s="2" t="s">
        <v>80</v>
      </c>
    </row>
    <row r="38" spans="1:4" x14ac:dyDescent="0.25">
      <c r="A38" s="2" t="s">
        <v>28</v>
      </c>
      <c r="B38" s="2">
        <v>13432</v>
      </c>
      <c r="C38" s="2" t="s">
        <v>41</v>
      </c>
      <c r="D38" s="2" t="s">
        <v>81</v>
      </c>
    </row>
    <row r="39" spans="1:4" x14ac:dyDescent="0.25">
      <c r="A39" s="2" t="s">
        <v>28</v>
      </c>
      <c r="B39" s="2">
        <v>13459</v>
      </c>
      <c r="C39" s="2" t="s">
        <v>42</v>
      </c>
      <c r="D39" s="2" t="s">
        <v>82</v>
      </c>
    </row>
    <row r="40" spans="1:4" x14ac:dyDescent="0.25">
      <c r="A40" s="2" t="s">
        <v>28</v>
      </c>
      <c r="B40" s="2">
        <v>13497</v>
      </c>
      <c r="C40" s="2" t="s">
        <v>43</v>
      </c>
      <c r="D40" s="2" t="s">
        <v>83</v>
      </c>
    </row>
    <row r="41" spans="1:4" x14ac:dyDescent="0.25">
      <c r="A41" s="2" t="s">
        <v>28</v>
      </c>
      <c r="B41" s="2">
        <v>13508</v>
      </c>
      <c r="C41" s="2" t="s">
        <v>44</v>
      </c>
      <c r="D41" s="2" t="s">
        <v>84</v>
      </c>
    </row>
    <row r="42" spans="1:4" x14ac:dyDescent="0.25">
      <c r="A42" s="2" t="s">
        <v>28</v>
      </c>
      <c r="B42" s="2">
        <v>13528</v>
      </c>
      <c r="C42" s="2" t="s">
        <v>45</v>
      </c>
      <c r="D42" s="2" t="s">
        <v>85</v>
      </c>
    </row>
    <row r="43" spans="1:4" x14ac:dyDescent="0.25">
      <c r="A43" s="2" t="s">
        <v>28</v>
      </c>
      <c r="B43" s="2">
        <v>13566</v>
      </c>
      <c r="C43" s="2" t="s">
        <v>46</v>
      </c>
      <c r="D43" s="2" t="s">
        <v>86</v>
      </c>
    </row>
    <row r="44" spans="1:4" x14ac:dyDescent="0.25">
      <c r="A44" s="2" t="s">
        <v>28</v>
      </c>
      <c r="B44" s="2">
        <v>13594</v>
      </c>
      <c r="C44" s="2" t="s">
        <v>47</v>
      </c>
      <c r="D44" s="2" t="s">
        <v>87</v>
      </c>
    </row>
    <row r="45" spans="1:4" x14ac:dyDescent="0.25">
      <c r="A45" s="2" t="s">
        <v>88</v>
      </c>
      <c r="B45" s="2">
        <v>11011</v>
      </c>
      <c r="C45" s="2" t="s">
        <v>89</v>
      </c>
      <c r="D45" s="2" t="str">
        <f>+VLOOKUP(B45,$B$5:$D$44,3,FALSE)</f>
        <v>Cliente 23</v>
      </c>
    </row>
    <row r="46" spans="1:4" x14ac:dyDescent="0.25">
      <c r="A46" s="2" t="s">
        <v>88</v>
      </c>
      <c r="B46" s="2">
        <v>11067</v>
      </c>
      <c r="C46" s="2" t="s">
        <v>90</v>
      </c>
      <c r="D46" s="2" t="str">
        <f t="shared" ref="D46:D50" si="0">+VLOOKUP(B46,$B$5:$D$44,3,FALSE)</f>
        <v>Cliente 25</v>
      </c>
    </row>
    <row r="47" spans="1:4" x14ac:dyDescent="0.25">
      <c r="A47" s="2" t="s">
        <v>88</v>
      </c>
      <c r="B47" s="2">
        <v>11089</v>
      </c>
      <c r="C47" s="2" t="s">
        <v>91</v>
      </c>
      <c r="D47" s="2" t="str">
        <f t="shared" si="0"/>
        <v>Cliente 26</v>
      </c>
    </row>
    <row r="48" spans="1:4" x14ac:dyDescent="0.25">
      <c r="A48" s="2" t="s">
        <v>88</v>
      </c>
      <c r="B48" s="2">
        <v>11160</v>
      </c>
      <c r="C48" s="2" t="s">
        <v>92</v>
      </c>
      <c r="D48" s="2" t="str">
        <f t="shared" si="0"/>
        <v>Cliente 27</v>
      </c>
    </row>
    <row r="49" spans="1:4" x14ac:dyDescent="0.25">
      <c r="A49" s="2" t="s">
        <v>88</v>
      </c>
      <c r="B49" s="2">
        <v>13345</v>
      </c>
      <c r="C49" s="2" t="s">
        <v>93</v>
      </c>
      <c r="D49" s="2" t="str">
        <f t="shared" si="0"/>
        <v>Cliente 29</v>
      </c>
    </row>
    <row r="50" spans="1:4" x14ac:dyDescent="0.25">
      <c r="A50" s="2" t="s">
        <v>88</v>
      </c>
      <c r="B50" s="2">
        <v>13346</v>
      </c>
      <c r="C50" s="2" t="s">
        <v>94</v>
      </c>
      <c r="D50" s="2" t="str">
        <f t="shared" si="0"/>
        <v>Cliente 30</v>
      </c>
    </row>
  </sheetData>
  <phoneticPr fontId="2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Paramétrica de posiciones en 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Jimenez Casas</dc:creator>
  <cp:lastModifiedBy>Luis Jimenez Casas</cp:lastModifiedBy>
  <dcterms:created xsi:type="dcterms:W3CDTF">2026-02-18T13:30:59Z</dcterms:created>
  <dcterms:modified xsi:type="dcterms:W3CDTF">2026-02-18T14:05:33Z</dcterms:modified>
</cp:coreProperties>
</file>